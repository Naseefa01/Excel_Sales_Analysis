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/>
  <mc:AlternateContent xmlns:mc="http://schemas.openxmlformats.org/markup-compatibility/2006">
    <mc:Choice Requires="x15">
      <x15ac:absPath xmlns:x15ac="http://schemas.microsoft.com/office/spreadsheetml/2010/11/ac" url="C:\Users\nasee\OneDrive\Documents\"/>
    </mc:Choice>
  </mc:AlternateContent>
  <xr:revisionPtr revIDLastSave="0" documentId="8_{9459D72D-1077-4D7E-A502-3DB3B4391ECC}" xr6:coauthVersionLast="47" xr6:coauthVersionMax="47" xr10:uidLastSave="{00000000-0000-0000-0000-000000000000}"/>
  <bookViews>
    <workbookView xWindow="-108" yWindow="-108" windowWidth="23256" windowHeight="12456" activeTab="3" xr2:uid="{E6DA07CE-3E1D-47E5-B348-939D79B2F2CF}"/>
  </bookViews>
  <sheets>
    <sheet name="Product_sheet" sheetId="1" r:id="rId1"/>
    <sheet name="Orders_sheet" sheetId="2" r:id="rId2"/>
    <sheet name="Analysis" sheetId="4" r:id="rId3"/>
    <sheet name="Dashboard" sheetId="5" r:id="rId4"/>
  </sheets>
  <definedNames>
    <definedName name="_xlcn.WorksheetConnection_Book1Orders_Table1" hidden="1">Orders_Table[]</definedName>
    <definedName name="_xlcn.WorksheetConnection_Book1Product_Table1" hidden="1">Product_Table[]</definedName>
  </definedNames>
  <calcPr calcId="191029"/>
  <pivotCaches>
    <pivotCache cacheId="0" r:id="rId5"/>
    <pivotCache cacheId="1" r:id="rId6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Product_Table" name="Product_Table" connection="WorksheetConnection_Book1!Product_Table"/>
          <x15:modelTable id="Orders_Table" name="Orders_Table" connection="WorksheetConnection_Book1!Orders_Table"/>
        </x15:modelTables>
        <x15:modelRelationships>
          <x15:modelRelationship fromTable="Orders_Table" fromColumn="Product_Name" toTable="Product_Table" toColumn="Product_Nam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" i="5" l="1"/>
  <c r="F1" i="5"/>
  <c r="C1" i="5"/>
  <c r="B1" i="5"/>
  <c r="I9" i="2"/>
  <c r="H9" i="2"/>
  <c r="E9" i="2"/>
  <c r="I8" i="2"/>
  <c r="H8" i="2"/>
  <c r="E8" i="2"/>
  <c r="I7" i="2"/>
  <c r="H7" i="2"/>
  <c r="E7" i="2"/>
  <c r="I6" i="2"/>
  <c r="H6" i="2"/>
  <c r="E6" i="2"/>
  <c r="I5" i="2"/>
  <c r="H5" i="2"/>
  <c r="E5" i="2"/>
  <c r="I4" i="2"/>
  <c r="H4" i="2"/>
  <c r="E4" i="2"/>
  <c r="I3" i="2"/>
  <c r="H3" i="2"/>
  <c r="E3" i="2"/>
  <c r="I2" i="2"/>
  <c r="H2" i="2"/>
  <c r="E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39B3503-CDCA-4939-BCF6-1741E5920FCF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3C8AE38B-5A63-4B0C-8F65-F8658F5E6D9D}" name="WorksheetConnection_Book1!Orders_Table" type="102" refreshedVersion="8" minRefreshableVersion="5">
    <extLst>
      <ext xmlns:x15="http://schemas.microsoft.com/office/spreadsheetml/2010/11/main" uri="{DE250136-89BD-433C-8126-D09CA5730AF9}">
        <x15:connection id="Orders_Table">
          <x15:rangePr sourceName="_xlcn.WorksheetConnection_Book1Orders_Table1"/>
        </x15:connection>
      </ext>
    </extLst>
  </connection>
  <connection id="3" xr16:uid="{4AC4E439-C671-4CE7-997F-1F7935F48A08}" name="WorksheetConnection_Book1!Product_Table" type="102" refreshedVersion="8" minRefreshableVersion="5">
    <extLst>
      <ext xmlns:x15="http://schemas.microsoft.com/office/spreadsheetml/2010/11/main" uri="{DE250136-89BD-433C-8126-D09CA5730AF9}">
        <x15:connection id="Product_Table" autoDelete="1">
          <x15:rangePr sourceName="_xlcn.WorksheetConnection_Book1Product_Table1"/>
        </x15:connection>
      </ext>
    </extLst>
  </connection>
</connections>
</file>

<file path=xl/sharedStrings.xml><?xml version="1.0" encoding="utf-8"?>
<sst xmlns="http://schemas.openxmlformats.org/spreadsheetml/2006/main" count="87" uniqueCount="46">
  <si>
    <t>Product_ID</t>
  </si>
  <si>
    <t>Product_Name</t>
  </si>
  <si>
    <t>Category</t>
  </si>
  <si>
    <t>Price</t>
  </si>
  <si>
    <t>P101</t>
  </si>
  <si>
    <t>P102</t>
  </si>
  <si>
    <t>P103</t>
  </si>
  <si>
    <t>P104</t>
  </si>
  <si>
    <t>P105</t>
  </si>
  <si>
    <t>Laptop</t>
  </si>
  <si>
    <t>Phone</t>
  </si>
  <si>
    <t>Shoes</t>
  </si>
  <si>
    <t>Watch</t>
  </si>
  <si>
    <t>Chair</t>
  </si>
  <si>
    <t>Electronics</t>
  </si>
  <si>
    <t>Fashion</t>
  </si>
  <si>
    <t>Furniture</t>
  </si>
  <si>
    <t>Order ID</t>
  </si>
  <si>
    <t>Order Date</t>
  </si>
  <si>
    <t>Customer_Name</t>
  </si>
  <si>
    <t>Quantity</t>
  </si>
  <si>
    <t>Region</t>
  </si>
  <si>
    <t>Aishu</t>
  </si>
  <si>
    <t>Rahul</t>
  </si>
  <si>
    <t>Sneha</t>
  </si>
  <si>
    <t>Ayesha</t>
  </si>
  <si>
    <t>Meena</t>
  </si>
  <si>
    <t>Rohit</t>
  </si>
  <si>
    <t>Priya</t>
  </si>
  <si>
    <t>Arjun</t>
  </si>
  <si>
    <t>South</t>
  </si>
  <si>
    <t>North</t>
  </si>
  <si>
    <t>East</t>
  </si>
  <si>
    <t>West</t>
  </si>
  <si>
    <t>Total Sales</t>
  </si>
  <si>
    <t>Grand Total</t>
  </si>
  <si>
    <t>Total_sales</t>
  </si>
  <si>
    <t>Total_Sales</t>
  </si>
  <si>
    <t>Products</t>
  </si>
  <si>
    <t>Customer_Names</t>
  </si>
  <si>
    <t>Jan</t>
  </si>
  <si>
    <t>Feb</t>
  </si>
  <si>
    <t>Mar</t>
  </si>
  <si>
    <t>Months</t>
  </si>
  <si>
    <t>Top Region--</t>
  </si>
  <si>
    <t>Top Category--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</si>
</sst>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onstantia"/>
      <family val="2"/>
      <scheme val="minor"/>
    </font>
    <font>
      <b/>
      <sz val="11"/>
      <color theme="1"/>
      <name val="Constantia"/>
      <family val="2"/>
      <scheme val="minor"/>
    </font>
    <font>
      <sz val="8"/>
      <name val="Constantia"/>
      <family val="2"/>
      <scheme val="minor"/>
    </font>
    <font>
      <b/>
      <sz val="13"/>
      <color theme="3"/>
      <name val="Constantia"/>
      <family val="2"/>
      <scheme val="minor"/>
    </font>
    <font>
      <b/>
      <sz val="14"/>
      <color theme="0"/>
      <name val="Constantia"/>
      <family val="2"/>
      <scheme val="minor"/>
    </font>
    <font>
      <b/>
      <sz val="13"/>
      <color theme="0"/>
      <name val="Constantia"/>
      <family val="2"/>
      <scheme val="minor"/>
    </font>
    <font>
      <sz val="11"/>
      <color theme="3" tint="-0.499984740745262"/>
      <name val="Constantia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 tint="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</borders>
  <cellStyleXfs count="2">
    <xf numFmtId="0" fontId="0" fillId="0" borderId="0"/>
    <xf numFmtId="0" fontId="3" fillId="0" borderId="1" applyNumberFormat="0" applyFill="0" applyAlignment="0" applyProtection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pivotButton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14" fontId="0" fillId="0" borderId="0" xfId="0" applyNumberFormat="1"/>
    <xf numFmtId="0" fontId="0" fillId="0" borderId="0" xfId="0" applyAlignment="1">
      <alignment horizontal="center"/>
    </xf>
    <xf numFmtId="0" fontId="4" fillId="3" borderId="1" xfId="1" applyFont="1" applyFill="1" applyAlignment="1">
      <alignment horizontal="center" vertical="center"/>
    </xf>
    <xf numFmtId="0" fontId="6" fillId="4" borderId="0" xfId="0" applyFont="1" applyFill="1" applyAlignment="1">
      <alignment horizontal="center"/>
    </xf>
    <xf numFmtId="0" fontId="5" fillId="2" borderId="1" xfId="1" applyFont="1" applyFill="1" applyAlignment="1">
      <alignment horizontal="center" vertical="center"/>
    </xf>
  </cellXfs>
  <cellStyles count="2">
    <cellStyle name="Heading 2" xfId="1" builtinId="17"/>
    <cellStyle name="Normal" xfId="0" builtinId="0"/>
  </cellStyles>
  <dxfs count="73">
    <dxf>
      <font>
        <color theme="1" tint="4.9989318521683403E-2"/>
      </font>
    </dxf>
    <dxf>
      <font>
        <color theme="3" tint="-0.499984740745262"/>
      </font>
    </dxf>
    <dxf>
      <font>
        <color theme="1"/>
      </font>
    </dxf>
    <dxf>
      <font>
        <color theme="0"/>
      </font>
    </dxf>
    <dxf>
      <fill>
        <patternFill>
          <bgColor theme="0"/>
        </patternFill>
      </fill>
    </dxf>
    <dxf>
      <fill>
        <patternFill patternType="solid">
          <bgColor theme="1"/>
        </patternFill>
      </fill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tantia"/>
        <family val="2"/>
        <scheme val="minor"/>
      </font>
      <alignment horizontal="center" vertical="center" textRotation="0" wrapText="0" indent="0" justifyLastLine="0" shrinkToFit="0" readingOrder="0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tantia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powerPivotData" Target="model/item.data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sales/Region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0421738970731084"/>
          <c:y val="0.16774832733286116"/>
          <c:w val="0.8688176102258075"/>
          <c:h val="0.70333657766956437"/>
        </c:manualLayout>
      </c:layout>
      <c:bar3DChart>
        <c:barDir val="col"/>
        <c:grouping val="clustered"/>
        <c:varyColors val="0"/>
        <c:ser>
          <c:idx val="0"/>
          <c:order val="0"/>
          <c:tx>
            <c:v>Series1</c:v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Analysis!$B$4:$B$7</c:f>
              <c:strCache>
                <c:ptCount val="4"/>
                <c:pt idx="0">
                  <c:v>South</c:v>
                </c:pt>
                <c:pt idx="1">
                  <c:v>West</c:v>
                </c:pt>
                <c:pt idx="2">
                  <c:v>North</c:v>
                </c:pt>
                <c:pt idx="3">
                  <c:v>East</c:v>
                </c:pt>
              </c:strCache>
            </c:strRef>
          </c:cat>
          <c:val>
            <c:numLit>
              <c:formatCode>General</c:formatCode>
              <c:ptCount val="4"/>
              <c:pt idx="0">
                <c:v>64000</c:v>
              </c:pt>
              <c:pt idx="1">
                <c:v>56000</c:v>
              </c:pt>
              <c:pt idx="2">
                <c:v>55000</c:v>
              </c:pt>
              <c:pt idx="3">
                <c:v>32000</c:v>
              </c:pt>
            </c:numLit>
          </c:val>
          <c:extLst>
            <c:ext xmlns:c16="http://schemas.microsoft.com/office/drawing/2014/chart" uri="{C3380CC4-5D6E-409C-BE32-E72D297353CC}">
              <c16:uniqueId val="{00000000-0419-4347-A4A2-D6ABAF50F0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771314031"/>
        <c:axId val="1771311151"/>
        <c:axId val="0"/>
      </c:bar3DChart>
      <c:catAx>
        <c:axId val="1771314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1311151"/>
        <c:crosses val="autoZero"/>
        <c:auto val="1"/>
        <c:lblAlgn val="ctr"/>
        <c:lblOffset val="100"/>
        <c:noMultiLvlLbl val="0"/>
      </c:catAx>
      <c:valAx>
        <c:axId val="1771311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13140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3 Products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v>Series1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Analysis!$K$4:$K$6</c:f>
              <c:strCache>
                <c:ptCount val="3"/>
                <c:pt idx="0">
                  <c:v>Laptop</c:v>
                </c:pt>
                <c:pt idx="1">
                  <c:v>Phone</c:v>
                </c:pt>
                <c:pt idx="2">
                  <c:v>Shoes</c:v>
                </c:pt>
              </c:strCache>
            </c:strRef>
          </c:cat>
          <c:val>
            <c:numLit>
              <c:formatCode>General</c:formatCode>
              <c:ptCount val="3"/>
              <c:pt idx="0">
                <c:v>100000</c:v>
              </c:pt>
              <c:pt idx="1">
                <c:v>60000</c:v>
              </c:pt>
              <c:pt idx="2">
                <c:v>18000</c:v>
              </c:pt>
            </c:numLit>
          </c:val>
          <c:extLst>
            <c:ext xmlns:c16="http://schemas.microsoft.com/office/drawing/2014/chart" uri="{C3380CC4-5D6E-409C-BE32-E72D297353CC}">
              <c16:uniqueId val="{00000000-9E6E-4BF1-AF79-745B284E86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71330351"/>
        <c:axId val="1771332271"/>
      </c:barChart>
      <c:catAx>
        <c:axId val="17713303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1332271"/>
        <c:crosses val="autoZero"/>
        <c:auto val="1"/>
        <c:lblAlgn val="ctr"/>
        <c:lblOffset val="100"/>
        <c:noMultiLvlLbl val="0"/>
      </c:catAx>
      <c:valAx>
        <c:axId val="17713322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13303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sales/Category</a:t>
            </a:r>
          </a:p>
        </c:rich>
      </c:tx>
      <c:layout>
        <c:manualLayout>
          <c:xMode val="edge"/>
          <c:yMode val="edge"/>
          <c:x val="0.45440292312638253"/>
          <c:y val="4.031151974905575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3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9.2969046145283021E-2"/>
          <c:y val="0.24414049996799181"/>
          <c:w val="0.80796806249310249"/>
          <c:h val="0.6363633090071058"/>
        </c:manualLayout>
      </c:layout>
      <c:pie3DChart>
        <c:varyColors val="1"/>
        <c:ser>
          <c:idx val="0"/>
          <c:order val="0"/>
          <c:tx>
            <c:v>Series1</c:v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AF89-42FD-B008-C44DCB57F57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AF89-42FD-B008-C44DCB57F57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AF89-42FD-B008-C44DCB57F573}"/>
              </c:ext>
            </c:extLst>
          </c:dPt>
          <c:dLbls>
            <c:dLbl>
              <c:idx val="0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1" i="0" u="none" strike="noStrike" kern="1200" spc="0" baseline="0">
                        <a:solidFill>
                          <a:schemeClr val="accent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F8C8A35C-D731-4210-8FE0-3B41505EFD41}" type="VALUE">
                      <a:rPr lang="en-US" baseline="0"/>
                      <a:pPr>
                        <a:defRPr/>
                      </a:pPr>
                      <a:t>[VALUE]</a:t>
                    </a:fld>
                    <a:r>
                      <a:rPr lang="en-US" baseline="0"/>
                      <a:t>
</a:t>
                    </a:r>
                    <a:fld id="{84A3355B-127F-4DA7-92D2-B253E699E930}" type="PERCENTAGE">
                      <a:rPr lang="en-US" baseline="0"/>
                      <a:pPr>
                        <a:defRPr/>
                      </a:pPr>
                      <a:t>[PERCENTAGE]</a:t>
                    </a:fld>
                    <a:endParaRPr lang="en-US" baseline="0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AF89-42FD-B008-C44DCB57F573}"/>
                </c:ext>
              </c:extLst>
            </c:dLbl>
            <c:dLbl>
              <c:idx val="1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1" i="0" u="none" strike="noStrike" kern="1200" spc="0" baseline="0">
                        <a:solidFill>
                          <a:schemeClr val="accent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baseline="0"/>
                      <a:t>
</a:t>
                    </a:r>
                    <a:fld id="{DA441BC4-426B-4489-AB67-C2DA9EDF0FD0}" type="VALUE">
                      <a:rPr lang="en-US" baseline="0"/>
                      <a:pPr>
                        <a:defRPr>
                          <a:solidFill>
                            <a:schemeClr val="accent1"/>
                          </a:solidFill>
                        </a:defRPr>
                      </a:pPr>
                      <a:t>[VALUE]</a:t>
                    </a:fld>
                    <a:r>
                      <a:rPr lang="en-US" baseline="0"/>
                      <a:t>
</a:t>
                    </a:r>
                    <a:fld id="{6F8F0722-C0ED-4872-A649-FB20E80F4354}" type="PERCENTAGE">
                      <a:rPr lang="en-US" baseline="0"/>
                      <a:pPr>
                        <a:defRPr>
                          <a:solidFill>
                            <a:schemeClr val="accent1"/>
                          </a:solidFill>
                        </a:defRPr>
                      </a:pPr>
                      <a:t>[PERCENTAGE]</a:t>
                    </a:fld>
                    <a:endParaRPr lang="en-US" baseline="0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AF89-42FD-B008-C44DCB57F573}"/>
                </c:ext>
              </c:extLst>
            </c:dLbl>
            <c:dLbl>
              <c:idx val="2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1" i="0" u="none" strike="noStrike" kern="1200" spc="0" baseline="0">
                        <a:solidFill>
                          <a:schemeClr val="accent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baseline="0"/>
                      <a:t>
</a:t>
                    </a:r>
                    <a:fld id="{7AEC0F5C-9723-4D30-A3C7-25B922766C10}" type="VALUE">
                      <a:rPr lang="en-US" baseline="0"/>
                      <a:pPr>
                        <a:defRPr>
                          <a:solidFill>
                            <a:schemeClr val="accent1"/>
                          </a:solidFill>
                        </a:defRPr>
                      </a:pPr>
                      <a:t>[VALUE]</a:t>
                    </a:fld>
                    <a:r>
                      <a:rPr lang="en-US" baseline="0"/>
                      <a:t>
</a:t>
                    </a:r>
                    <a:fld id="{B63D7FB6-9DB6-4B7F-A783-2E81D3370D6A}" type="PERCENTAGE">
                      <a:rPr lang="en-US" baseline="0"/>
                      <a:pPr>
                        <a:defRPr>
                          <a:solidFill>
                            <a:schemeClr val="accent1"/>
                          </a:solidFill>
                        </a:defRPr>
                      </a:pPr>
                      <a:t>[PERCENTAGE]</a:t>
                    </a:fld>
                    <a:endParaRPr lang="en-US" baseline="0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AF89-42FD-B008-C44DCB57F57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spc="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Analysis!$G$4:$G$6</c:f>
              <c:strCache>
                <c:ptCount val="3"/>
                <c:pt idx="0">
                  <c:v>Electronics</c:v>
                </c:pt>
                <c:pt idx="1">
                  <c:v>Fashion</c:v>
                </c:pt>
                <c:pt idx="2">
                  <c:v>Furniture</c:v>
                </c:pt>
              </c:strCache>
            </c:strRef>
          </c:cat>
          <c:val>
            <c:numLit>
              <c:formatCode>General</c:formatCode>
              <c:ptCount val="3"/>
              <c:pt idx="0">
                <c:v>160000</c:v>
              </c:pt>
              <c:pt idx="1">
                <c:v>33000</c:v>
              </c:pt>
              <c:pt idx="2">
                <c:v>14000</c:v>
              </c:pt>
            </c:numLit>
          </c:val>
          <c:extLst>
            <c:ext xmlns:c16="http://schemas.microsoft.com/office/drawing/2014/chart" uri="{C3380CC4-5D6E-409C-BE32-E72D297353CC}">
              <c16:uniqueId val="{00000006-AF89-42FD-B008-C44DCB57F573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0"/>
        </c:dLbls>
      </c:pie3D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0306226109900836"/>
          <c:y val="0.38587131345340209"/>
          <c:w val="0.18044650976769872"/>
          <c:h val="0.3101114868540026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Analysis_project_Excel.xlsx]Analysis!PivotTable13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5 customers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1504984802221933"/>
          <c:y val="0.1598090938952792"/>
          <c:w val="0.77052501470474555"/>
          <c:h val="0.725431364026915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Analysis!$D$14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Analysis!$C$15:$C$20</c:f>
              <c:strCache>
                <c:ptCount val="5"/>
                <c:pt idx="0">
                  <c:v>Aishu</c:v>
                </c:pt>
                <c:pt idx="1">
                  <c:v>Rohit</c:v>
                </c:pt>
                <c:pt idx="2">
                  <c:v>Arjun</c:v>
                </c:pt>
                <c:pt idx="3">
                  <c:v>Sneha</c:v>
                </c:pt>
                <c:pt idx="4">
                  <c:v>Ayesha</c:v>
                </c:pt>
              </c:strCache>
            </c:strRef>
          </c:cat>
          <c:val>
            <c:numRef>
              <c:f>Analysis!$D$15:$D$20</c:f>
              <c:numCache>
                <c:formatCode>General</c:formatCode>
                <c:ptCount val="5"/>
                <c:pt idx="0">
                  <c:v>50000</c:v>
                </c:pt>
                <c:pt idx="1">
                  <c:v>50000</c:v>
                </c:pt>
                <c:pt idx="2">
                  <c:v>40000</c:v>
                </c:pt>
                <c:pt idx="3">
                  <c:v>20000</c:v>
                </c:pt>
                <c:pt idx="4">
                  <c:v>15000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35-4720-8C21-9211195C54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90166127"/>
        <c:axId val="1290168047"/>
      </c:barChart>
      <c:catAx>
        <c:axId val="12901661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0168047"/>
        <c:crosses val="autoZero"/>
        <c:auto val="1"/>
        <c:lblAlgn val="ctr"/>
        <c:lblOffset val="100"/>
        <c:noMultiLvlLbl val="0"/>
      </c:catAx>
      <c:valAx>
        <c:axId val="1290168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01661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Analysis_project_Excel.xlsx]Analysis!PivotTable17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</a:t>
            </a:r>
            <a:r>
              <a:rPr lang="en-US" baseline="0"/>
              <a:t> Revenue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Analysis!$J$14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Analysis!$I$15:$I$18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Analysis!$J$15:$J$18</c:f>
              <c:numCache>
                <c:formatCode>General</c:formatCode>
                <c:ptCount val="3"/>
                <c:pt idx="0">
                  <c:v>136000</c:v>
                </c:pt>
                <c:pt idx="1">
                  <c:v>65000</c:v>
                </c:pt>
                <c:pt idx="2">
                  <c:v>6000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6A7-45BD-9B9C-68FEB60A23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0777568"/>
        <c:axId val="140776608"/>
      </c:lineChart>
      <c:catAx>
        <c:axId val="140777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776608"/>
        <c:crosses val="autoZero"/>
        <c:auto val="1"/>
        <c:lblAlgn val="ctr"/>
        <c:lblOffset val="100"/>
        <c:noMultiLvlLbl val="0"/>
      </c:catAx>
      <c:valAx>
        <c:axId val="140776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777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154020</xdr:colOff>
      <xdr:row>2</xdr:row>
      <xdr:rowOff>37453</xdr:rowOff>
    </xdr:from>
    <xdr:to>
      <xdr:col>5</xdr:col>
      <xdr:colOff>76200</xdr:colOff>
      <xdr:row>16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1610031-FC63-4B3D-906E-285A6297CB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472115</xdr:colOff>
      <xdr:row>2</xdr:row>
      <xdr:rowOff>53339</xdr:rowOff>
    </xdr:from>
    <xdr:to>
      <xdr:col>20</xdr:col>
      <xdr:colOff>564853</xdr:colOff>
      <xdr:row>16</xdr:row>
      <xdr:rowOff>8755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E683C73-D6A0-4D1C-9C14-035228F138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231033</xdr:colOff>
      <xdr:row>2</xdr:row>
      <xdr:rowOff>62745</xdr:rowOff>
    </xdr:from>
    <xdr:to>
      <xdr:col>11</xdr:col>
      <xdr:colOff>358140</xdr:colOff>
      <xdr:row>16</xdr:row>
      <xdr:rowOff>60961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D4D01E8-D72F-47E5-B6AB-ACC8BB0E04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571173</xdr:colOff>
      <xdr:row>19</xdr:row>
      <xdr:rowOff>24483</xdr:rowOff>
    </xdr:from>
    <xdr:to>
      <xdr:col>7</xdr:col>
      <xdr:colOff>53340</xdr:colOff>
      <xdr:row>36</xdr:row>
      <xdr:rowOff>15240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28A6E04F-5D07-41DB-B34E-5BFF46EAC6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162613</xdr:colOff>
      <xdr:row>19</xdr:row>
      <xdr:rowOff>9078</xdr:rowOff>
    </xdr:from>
    <xdr:to>
      <xdr:col>19</xdr:col>
      <xdr:colOff>304800</xdr:colOff>
      <xdr:row>35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F92C104-5A60-412D-B37F-50330479FA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idimamidi Naseefa" refreshedDate="46066.449662384257" createdVersion="8" refreshedVersion="8" minRefreshableVersion="3" recordCount="8" xr:uid="{254FDD1A-C52B-45BF-A090-5187B826D64B}">
  <cacheSource type="worksheet">
    <worksheetSource name="Orders_Table"/>
  </cacheSource>
  <cacheFields count="11">
    <cacheField name="Order ID" numFmtId="0">
      <sharedItems containsSemiMixedTypes="0" containsString="0" containsNumber="1" containsInteger="1" minValue="1" maxValue="8"/>
    </cacheField>
    <cacheField name="Order Date" numFmtId="14">
      <sharedItems containsSemiMixedTypes="0" containsNonDate="0" containsDate="1" containsString="0" minDate="2026-01-01T00:00:00" maxDate="2026-03-24T00:00:00" count="12">
        <d v="2026-01-01T00:00:00"/>
        <d v="2026-03-23T00:00:00"/>
        <d v="2026-01-03T00:00:00"/>
        <d v="2026-02-09T00:00:00"/>
        <d v="2026-01-06T00:00:00"/>
        <d v="2026-02-20T00:00:00"/>
        <d v="2026-01-21T00:00:00"/>
        <d v="2026-01-12T00:00:00"/>
        <d v="2026-01-02T00:00:00" u="1"/>
        <d v="2026-01-05T00:00:00" u="1"/>
        <d v="2026-01-08T00:00:00" u="1"/>
        <d v="2026-01-10T00:00:00" u="1"/>
      </sharedItems>
      <fieldGroup par="10"/>
    </cacheField>
    <cacheField name="Customer_Name" numFmtId="0">
      <sharedItems count="8">
        <s v="Aishu"/>
        <s v="Rahul"/>
        <s v="Sneha"/>
        <s v="Ayesha"/>
        <s v="Meena"/>
        <s v="Rohit"/>
        <s v="Priya"/>
        <s v="Arjun"/>
      </sharedItems>
    </cacheField>
    <cacheField name="Product_ID" numFmtId="0">
      <sharedItems/>
    </cacheField>
    <cacheField name="Product_Name" numFmtId="0">
      <sharedItems count="5">
        <s v="Laptop"/>
        <s v="Shoes"/>
        <s v="Phone"/>
        <s v="Watch"/>
        <s v="Chair"/>
      </sharedItems>
    </cacheField>
    <cacheField name="Quantity" numFmtId="0">
      <sharedItems containsSemiMixedTypes="0" containsString="0" containsNumber="1" containsInteger="1" minValue="1" maxValue="4"/>
    </cacheField>
    <cacheField name="Region" numFmtId="0">
      <sharedItems count="4">
        <s v="South"/>
        <s v="West"/>
        <s v="East"/>
        <s v="North"/>
      </sharedItems>
    </cacheField>
    <cacheField name="Price" numFmtId="0">
      <sharedItems containsSemiMixedTypes="0" containsString="0" containsNumber="1" containsInteger="1" minValue="3000" maxValue="50000"/>
    </cacheField>
    <cacheField name="Total Sales" numFmtId="0">
      <sharedItems containsSemiMixedTypes="0" containsString="0" containsNumber="1" containsInteger="1" minValue="6000" maxValue="50000"/>
    </cacheField>
    <cacheField name="Months (Order Date)" numFmtId="0" databaseField="0">
      <fieldGroup base="1">
        <rangePr groupBy="months" startDate="2026-01-01T00:00:00" endDate="2026-03-24T00:00:00"/>
        <groupItems count="14">
          <s v="&lt;01-01-20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4-03-2026"/>
        </groupItems>
      </fieldGroup>
    </cacheField>
    <cacheField name="Years (Order Date)" numFmtId="0" databaseField="0">
      <fieldGroup base="1">
        <rangePr groupBy="years" startDate="2026-01-01T00:00:00" endDate="2026-03-24T00:00:00"/>
        <groupItems count="3">
          <s v="&lt;01-01-2026"/>
          <s v="2026"/>
          <s v="&gt;24-03-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idimamidi Naseefa" refreshedDate="46066.499052199077" backgroundQuery="1" createdVersion="8" refreshedVersion="8" minRefreshableVersion="3" recordCount="0" supportSubquery="1" supportAdvancedDrill="1" xr:uid="{90C7FE2F-3D00-4C7F-9CAE-4EDAA4E972BA}">
  <cacheSource type="external" connectionId="1"/>
  <cacheFields count="2">
    <cacheField name="[Product_Table].[Category].[Category]" caption="Category" numFmtId="0" hierarchy="11" level="1">
      <sharedItems count="3">
        <s v="Electronics"/>
        <s v="Fashion"/>
        <s v="Furniture"/>
      </sharedItems>
    </cacheField>
    <cacheField name="[Measures].[Sum of Total Sales]" caption="Sum of Total Sales" numFmtId="0" hierarchy="16" level="32767"/>
  </cacheFields>
  <cacheHierarchies count="17">
    <cacheHierarchy uniqueName="[Orders_Table].[Order ID]" caption="Order ID" attribute="1" defaultMemberUniqueName="[Orders_Table].[Order ID].[All]" allUniqueName="[Orders_Table].[Order ID].[All]" dimensionUniqueName="[Orders_Table]" displayFolder="" count="0" memberValueDatatype="20" unbalanced="0"/>
    <cacheHierarchy uniqueName="[Orders_Table].[Order Date]" caption="Order Date" attribute="1" time="1" defaultMemberUniqueName="[Orders_Table].[Order Date].[All]" allUniqueName="[Orders_Table].[Order Date].[All]" dimensionUniqueName="[Orders_Table]" displayFolder="" count="0" memberValueDatatype="7" unbalanced="0"/>
    <cacheHierarchy uniqueName="[Orders_Table].[Customer_Name]" caption="Customer_Name" attribute="1" defaultMemberUniqueName="[Orders_Table].[Customer_Name].[All]" allUniqueName="[Orders_Table].[Customer_Name].[All]" dimensionUniqueName="[Orders_Table]" displayFolder="" count="0" memberValueDatatype="130" unbalanced="0"/>
    <cacheHierarchy uniqueName="[Orders_Table].[Product_ID]" caption="Product_ID" attribute="1" defaultMemberUniqueName="[Orders_Table].[Product_ID].[All]" allUniqueName="[Orders_Table].[Product_ID].[All]" dimensionUniqueName="[Orders_Table]" displayFolder="" count="0" memberValueDatatype="130" unbalanced="0"/>
    <cacheHierarchy uniqueName="[Orders_Table].[Product_Name]" caption="Product_Name" attribute="1" defaultMemberUniqueName="[Orders_Table].[Product_Name].[All]" allUniqueName="[Orders_Table].[Product_Name].[All]" dimensionUniqueName="[Orders_Table]" displayFolder="" count="0" memberValueDatatype="130" unbalanced="0"/>
    <cacheHierarchy uniqueName="[Orders_Table].[Quantity]" caption="Quantity" attribute="1" defaultMemberUniqueName="[Orders_Table].[Quantity].[All]" allUniqueName="[Orders_Table].[Quantity].[All]" dimensionUniqueName="[Orders_Table]" displayFolder="" count="0" memberValueDatatype="20" unbalanced="0"/>
    <cacheHierarchy uniqueName="[Orders_Table].[Region]" caption="Region" attribute="1" defaultMemberUniqueName="[Orders_Table].[Region].[All]" allUniqueName="[Orders_Table].[Region].[All]" dimensionUniqueName="[Orders_Table]" displayFolder="" count="0" memberValueDatatype="130" unbalanced="0"/>
    <cacheHierarchy uniqueName="[Orders_Table].[Price]" caption="Price" attribute="1" defaultMemberUniqueName="[Orders_Table].[Price].[All]" allUniqueName="[Orders_Table].[Price].[All]" dimensionUniqueName="[Orders_Table]" displayFolder="" count="0" memberValueDatatype="20" unbalanced="0"/>
    <cacheHierarchy uniqueName="[Orders_Table].[Total Sales]" caption="Total Sales" attribute="1" defaultMemberUniqueName="[Orders_Table].[Total Sales].[All]" allUniqueName="[Orders_Table].[Total Sales].[All]" dimensionUniqueName="[Orders_Table]" displayFolder="" count="0" memberValueDatatype="20" unbalanced="0"/>
    <cacheHierarchy uniqueName="[Product_Table].[Product_ID]" caption="Product_ID" attribute="1" defaultMemberUniqueName="[Product_Table].[Product_ID].[All]" allUniqueName="[Product_Table].[Product_ID].[All]" dimensionUniqueName="[Product_Table]" displayFolder="" count="0" memberValueDatatype="130" unbalanced="0"/>
    <cacheHierarchy uniqueName="[Product_Table].[Product_Name]" caption="Product_Name" attribute="1" defaultMemberUniqueName="[Product_Table].[Product_Name].[All]" allUniqueName="[Product_Table].[Product_Name].[All]" dimensionUniqueName="[Product_Table]" displayFolder="" count="0" memberValueDatatype="130" unbalanced="0"/>
    <cacheHierarchy uniqueName="[Product_Table].[Category]" caption="Category" attribute="1" defaultMemberUniqueName="[Product_Table].[Category].[All]" allUniqueName="[Product_Table].[Category].[All]" dimensionUniqueName="[Product_Table]" displayFolder="" count="2" memberValueDatatype="130" unbalanced="0">
      <fieldsUsage count="2">
        <fieldUsage x="-1"/>
        <fieldUsage x="0"/>
      </fieldsUsage>
    </cacheHierarchy>
    <cacheHierarchy uniqueName="[Product_Table].[Price]" caption="Price" attribute="1" defaultMemberUniqueName="[Product_Table].[Price].[All]" allUniqueName="[Product_Table].[Price].[All]" dimensionUniqueName="[Product_Table]" displayFolder="" count="0" memberValueDatatype="20" unbalanced="0"/>
    <cacheHierarchy uniqueName="[Measures].[__XL_Count Product_Table]" caption="__XL_Count Product_Table" measure="1" displayFolder="" measureGroup="Product_Table" count="0" hidden="1"/>
    <cacheHierarchy uniqueName="[Measures].[__XL_Count Orders_Table]" caption="__XL_Count Orders_Table" measure="1" displayFolder="" measureGroup="Orders_Table" count="0" hidden="1"/>
    <cacheHierarchy uniqueName="[Measures].[__No measures defined]" caption="__No measures defined" measure="1" displayFolder="" count="0" hidden="1"/>
    <cacheHierarchy uniqueName="[Measures].[Sum of Total Sales]" caption="Sum of Total Sales" measure="1" displayFolder="" measureGroup="Orders_Tabl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3">
    <dimension measure="1" name="Measures" uniqueName="[Measures]" caption="Measures"/>
    <dimension name="Orders_Table" uniqueName="[Orders_Table]" caption="Orders_Table"/>
    <dimension name="Product_Table" uniqueName="[Product_Table]" caption="Product_Table"/>
  </dimensions>
  <measureGroups count="2">
    <measureGroup name="Orders_Table" caption="Orders_Table"/>
    <measureGroup name="Product_Table" caption="Product_Table"/>
  </measureGroups>
  <maps count="3">
    <map measureGroup="0" dimension="1"/>
    <map measureGroup="0" dimension="2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n v="1"/>
    <x v="0"/>
    <x v="0"/>
    <s v="P101"/>
    <x v="0"/>
    <n v="1"/>
    <x v="0"/>
    <n v="50000"/>
    <n v="50000"/>
  </r>
  <r>
    <n v="2"/>
    <x v="1"/>
    <x v="1"/>
    <s v="P103"/>
    <x v="1"/>
    <n v="2"/>
    <x v="1"/>
    <n v="3000"/>
    <n v="6000"/>
  </r>
  <r>
    <n v="3"/>
    <x v="2"/>
    <x v="2"/>
    <s v="P102"/>
    <x v="2"/>
    <n v="1"/>
    <x v="2"/>
    <n v="20000"/>
    <n v="20000"/>
  </r>
  <r>
    <n v="4"/>
    <x v="3"/>
    <x v="3"/>
    <s v="P104"/>
    <x v="3"/>
    <n v="3"/>
    <x v="3"/>
    <n v="5000"/>
    <n v="15000"/>
  </r>
  <r>
    <n v="5"/>
    <x v="4"/>
    <x v="4"/>
    <s v="P105"/>
    <x v="4"/>
    <n v="2"/>
    <x v="0"/>
    <n v="7000"/>
    <n v="14000"/>
  </r>
  <r>
    <n v="6"/>
    <x v="5"/>
    <x v="5"/>
    <s v="P101"/>
    <x v="0"/>
    <n v="1"/>
    <x v="1"/>
    <n v="50000"/>
    <n v="50000"/>
  </r>
  <r>
    <n v="7"/>
    <x v="6"/>
    <x v="6"/>
    <s v="P103"/>
    <x v="1"/>
    <n v="4"/>
    <x v="2"/>
    <n v="3000"/>
    <n v="12000"/>
  </r>
  <r>
    <n v="8"/>
    <x v="7"/>
    <x v="7"/>
    <s v="P102"/>
    <x v="2"/>
    <n v="2"/>
    <x v="3"/>
    <n v="20000"/>
    <n v="40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49F18C-DA39-44F9-9472-59FAB9FB22EC}" name="PivotTable1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7" rowHeaderCaption="Months">
  <location ref="I14:J18" firstHeaderRow="1" firstDataRow="1" firstDataCol="1"/>
  <pivotFields count="11">
    <pivotField showAll="0"/>
    <pivotField numFmtId="14" showAll="0">
      <items count="13">
        <item x="0"/>
        <item m="1" x="8"/>
        <item x="2"/>
        <item m="1" x="9"/>
        <item x="4"/>
        <item m="1" x="10"/>
        <item m="1" x="11"/>
        <item x="7"/>
        <item x="6"/>
        <item x="3"/>
        <item x="5"/>
        <item x="1"/>
        <item t="default"/>
      </items>
    </pivotField>
    <pivotField showAll="0"/>
    <pivotField showAll="0"/>
    <pivotField showAll="0"/>
    <pivotField showAll="0"/>
    <pivotField showAll="0">
      <items count="5">
        <item x="2"/>
        <item x="3"/>
        <item x="0"/>
        <item x="1"/>
        <item t="default"/>
      </items>
    </pivotField>
    <pivotField showAll="0"/>
    <pivotField dataField="1"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4">
        <item x="0"/>
        <item x="1"/>
        <item x="2"/>
        <item t="default"/>
      </items>
    </pivotField>
  </pivotFields>
  <rowFields count="1">
    <field x="9"/>
  </rowFields>
  <rowItems count="4">
    <i>
      <x v="1"/>
    </i>
    <i>
      <x v="2"/>
    </i>
    <i>
      <x v="3"/>
    </i>
    <i t="grand">
      <x/>
    </i>
  </rowItems>
  <colItems count="1">
    <i/>
  </colItems>
  <dataFields count="1">
    <dataField name="Total_Sales" fld="8" baseField="9" baseItem="1"/>
  </dataFields>
  <formats count="10">
    <format dxfId="26">
      <pivotArea field="9" type="button" dataOnly="0" labelOnly="1" outline="0" axis="axisRow" fieldPosition="0"/>
    </format>
    <format dxfId="25">
      <pivotArea dataOnly="0" labelOnly="1" outline="0" axis="axisValues" fieldPosition="0"/>
    </format>
    <format dxfId="24">
      <pivotArea field="9" type="button" dataOnly="0" labelOnly="1" outline="0" axis="axisRow" fieldPosition="0"/>
    </format>
    <format dxfId="23">
      <pivotArea dataOnly="0" labelOnly="1" outline="0" axis="axisValues" fieldPosition="0"/>
    </format>
    <format dxfId="22">
      <pivotArea outline="0" collapsedLevelsAreSubtotals="1" fieldPosition="0"/>
    </format>
    <format dxfId="21">
      <pivotArea dataOnly="0" labelOnly="1" fieldPosition="0">
        <references count="1">
          <reference field="9" count="3">
            <x v="1"/>
            <x v="2"/>
            <x v="3"/>
          </reference>
        </references>
      </pivotArea>
    </format>
    <format dxfId="20">
      <pivotArea dataOnly="0" labelOnly="1" grandRow="1" outline="0" fieldPosition="0"/>
    </format>
    <format dxfId="19">
      <pivotArea outline="0" collapsedLevelsAreSubtotals="1" fieldPosition="0"/>
    </format>
    <format dxfId="18">
      <pivotArea dataOnly="0" labelOnly="1" fieldPosition="0">
        <references count="1">
          <reference field="9" count="3">
            <x v="1"/>
            <x v="2"/>
            <x v="3"/>
          </reference>
        </references>
      </pivotArea>
    </format>
    <format dxfId="17">
      <pivotArea dataOnly="0" labelOnly="1" grandRow="1" outline="0" fieldPosition="0"/>
    </format>
  </format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3607B2-43E0-48D6-9FE1-91A86843DFED}" name="PivotTable1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Products">
  <location ref="K3:L7" firstHeaderRow="1" firstDataRow="1" firstDataCol="1"/>
  <pivotFields count="11">
    <pivotField showAll="0"/>
    <pivotField numFmtId="14" showAll="0">
      <items count="13">
        <item x="0"/>
        <item m="1" x="8"/>
        <item x="2"/>
        <item m="1" x="9"/>
        <item x="4"/>
        <item m="1" x="10"/>
        <item m="1" x="11"/>
        <item x="7"/>
        <item x="6"/>
        <item x="3"/>
        <item x="5"/>
        <item x="1"/>
        <item t="default"/>
      </items>
    </pivotField>
    <pivotField showAll="0"/>
    <pivotField showAll="0"/>
    <pivotField axis="axisRow" showAll="0" measureFilter="1" sortType="descending">
      <items count="6">
        <item x="4"/>
        <item x="0"/>
        <item x="2"/>
        <item x="1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4">
        <item x="0"/>
        <item x="1"/>
        <item x="2"/>
        <item t="default"/>
      </items>
    </pivotField>
  </pivotFields>
  <rowFields count="1">
    <field x="4"/>
  </rowFields>
  <rowItems count="4">
    <i>
      <x v="1"/>
    </i>
    <i>
      <x v="2"/>
    </i>
    <i>
      <x v="3"/>
    </i>
    <i t="grand">
      <x/>
    </i>
  </rowItems>
  <colItems count="1">
    <i/>
  </colItems>
  <dataFields count="1">
    <dataField name="Total_Sales" fld="8" baseField="4" baseItem="1"/>
  </dataFields>
  <formats count="10">
    <format dxfId="36">
      <pivotArea field="4" type="button" dataOnly="0" labelOnly="1" outline="0" axis="axisRow" fieldPosition="0"/>
    </format>
    <format dxfId="35">
      <pivotArea dataOnly="0" labelOnly="1" outline="0" axis="axisValues" fieldPosition="0"/>
    </format>
    <format dxfId="34">
      <pivotArea field="4" type="button" dataOnly="0" labelOnly="1" outline="0" axis="axisRow" fieldPosition="0"/>
    </format>
    <format dxfId="33">
      <pivotArea dataOnly="0" labelOnly="1" outline="0" axis="axisValues" fieldPosition="0"/>
    </format>
    <format dxfId="32">
      <pivotArea outline="0" collapsedLevelsAreSubtotals="1" fieldPosition="0"/>
    </format>
    <format dxfId="31">
      <pivotArea dataOnly="0" labelOnly="1" fieldPosition="0">
        <references count="1">
          <reference field="4" count="3">
            <x v="1"/>
            <x v="2"/>
            <x v="3"/>
          </reference>
        </references>
      </pivotArea>
    </format>
    <format dxfId="30">
      <pivotArea dataOnly="0" labelOnly="1" grandRow="1" outline="0" fieldPosition="0"/>
    </format>
    <format dxfId="29">
      <pivotArea outline="0" collapsedLevelsAreSubtotals="1" fieldPosition="0"/>
    </format>
    <format dxfId="28">
      <pivotArea dataOnly="0" labelOnly="1" fieldPosition="0">
        <references count="1">
          <reference field="4" count="3">
            <x v="1"/>
            <x v="2"/>
            <x v="3"/>
          </reference>
        </references>
      </pivotArea>
    </format>
    <format dxfId="27">
      <pivotArea dataOnly="0" labelOnly="1" grandRow="1" outline="0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4" type="count" evalOrder="-1" id="1" iMeasureFld="0">
      <autoFilter ref="A1">
        <filterColumn colId="0">
          <top10 val="3" filterVal="3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D908A0-D7B8-4F4C-B83B-F5FF6ED24646}" name="PivotTable1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 rowHeaderCaption="Customer_Names">
  <location ref="C14:D20" firstHeaderRow="1" firstDataRow="1" firstDataCol="1"/>
  <pivotFields count="11">
    <pivotField showAll="0"/>
    <pivotField numFmtId="14" showAll="0">
      <items count="13">
        <item x="0"/>
        <item m="1" x="8"/>
        <item x="2"/>
        <item m="1" x="9"/>
        <item x="4"/>
        <item m="1" x="10"/>
        <item m="1" x="11"/>
        <item x="7"/>
        <item x="6"/>
        <item x="3"/>
        <item x="5"/>
        <item x="1"/>
        <item t="default"/>
      </items>
    </pivotField>
    <pivotField axis="axisRow" showAll="0" measureFilter="1" sortType="descending">
      <items count="9">
        <item x="0"/>
        <item x="7"/>
        <item x="3"/>
        <item x="4"/>
        <item x="6"/>
        <item x="1"/>
        <item x="5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4">
        <item x="0"/>
        <item x="1"/>
        <item x="2"/>
        <item t="default"/>
      </items>
    </pivotField>
  </pivotFields>
  <rowFields count="1">
    <field x="2"/>
  </rowFields>
  <rowItems count="6">
    <i>
      <x/>
    </i>
    <i>
      <x v="6"/>
    </i>
    <i>
      <x v="1"/>
    </i>
    <i>
      <x v="7"/>
    </i>
    <i>
      <x v="2"/>
    </i>
    <i t="grand">
      <x/>
    </i>
  </rowItems>
  <colItems count="1">
    <i/>
  </colItems>
  <dataFields count="1">
    <dataField name="Total_Sales" fld="8" baseField="2" baseItem="0"/>
  </dataFields>
  <formats count="10">
    <format dxfId="46">
      <pivotArea field="2" type="button" dataOnly="0" labelOnly="1" outline="0" axis="axisRow" fieldPosition="0"/>
    </format>
    <format dxfId="45">
      <pivotArea dataOnly="0" labelOnly="1" outline="0" axis="axisValues" fieldPosition="0"/>
    </format>
    <format dxfId="44">
      <pivotArea field="2" type="button" dataOnly="0" labelOnly="1" outline="0" axis="axisRow" fieldPosition="0"/>
    </format>
    <format dxfId="43">
      <pivotArea dataOnly="0" labelOnly="1" outline="0" axis="axisValues" fieldPosition="0"/>
    </format>
    <format dxfId="42">
      <pivotArea outline="0" collapsedLevelsAreSubtotals="1" fieldPosition="0"/>
    </format>
    <format dxfId="41">
      <pivotArea dataOnly="0" labelOnly="1" fieldPosition="0">
        <references count="1">
          <reference field="2" count="5">
            <x v="0"/>
            <x v="1"/>
            <x v="2"/>
            <x v="6"/>
            <x v="7"/>
          </reference>
        </references>
      </pivotArea>
    </format>
    <format dxfId="40">
      <pivotArea dataOnly="0" labelOnly="1" grandRow="1" outline="0" fieldPosition="0"/>
    </format>
    <format dxfId="39">
      <pivotArea outline="0" collapsedLevelsAreSubtotals="1" fieldPosition="0"/>
    </format>
    <format dxfId="38">
      <pivotArea dataOnly="0" labelOnly="1" fieldPosition="0">
        <references count="1">
          <reference field="2" count="5">
            <x v="0"/>
            <x v="1"/>
            <x v="2"/>
            <x v="6"/>
            <x v="7"/>
          </reference>
        </references>
      </pivotArea>
    </format>
    <format dxfId="37">
      <pivotArea dataOnly="0" labelOnly="1" grandRow="1" outline="0" fieldPosition="0"/>
    </format>
  </format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2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0A1293-162B-457E-AB1A-976D9C10AE26}" name="PivotTable1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 rowHeaderCaption="Category">
  <location ref="G3:H7" firstHeaderRow="1" firstDataRow="1" firstDataCol="1"/>
  <pivotFields count="2">
    <pivotField axis="axisRow" allDrilled="1" showAll="0" dataSourceSort="1" defaultAttributeDrillState="1">
      <items count="4">
        <item x="0"/>
        <item x="1"/>
        <item x="2"/>
        <item t="default"/>
      </items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Total_Sales" fld="1" baseField="0" baseItem="0"/>
  </dataFields>
  <formats count="10">
    <format dxfId="56">
      <pivotArea field="0" type="button" dataOnly="0" labelOnly="1" outline="0" axis="axisRow" fieldPosition="0"/>
    </format>
    <format dxfId="55">
      <pivotArea dataOnly="0" labelOnly="1" outline="0" axis="axisValues" fieldPosition="0"/>
    </format>
    <format dxfId="54">
      <pivotArea field="0" type="button" dataOnly="0" labelOnly="1" outline="0" axis="axisRow" fieldPosition="0"/>
    </format>
    <format dxfId="53">
      <pivotArea dataOnly="0" labelOnly="1" outline="0" axis="axisValues" fieldPosition="0"/>
    </format>
    <format dxfId="52">
      <pivotArea outline="0" collapsedLevelsAreSubtotals="1" fieldPosition="0"/>
    </format>
    <format dxfId="51">
      <pivotArea dataOnly="0" labelOnly="1" fieldPosition="0">
        <references count="1">
          <reference field="0" count="0"/>
        </references>
      </pivotArea>
    </format>
    <format dxfId="50">
      <pivotArea dataOnly="0" labelOnly="1" grandRow="1" outline="0" fieldPosition="0"/>
    </format>
    <format dxfId="49">
      <pivotArea outline="0" collapsedLevelsAreSubtotals="1" fieldPosition="0"/>
    </format>
    <format dxfId="48">
      <pivotArea dataOnly="0" labelOnly="1" fieldPosition="0">
        <references count="1">
          <reference field="0" count="0"/>
        </references>
      </pivotArea>
    </format>
    <format dxfId="47">
      <pivotArea dataOnly="0" labelOnly="1" grandRow="1" outline="0" fieldPosition="0"/>
    </format>
  </formats>
  <chartFormats count="1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5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0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0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0" format="1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</chartFormats>
  <pivotHierarchies count="1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Total_Sales"/>
  </pivotHierarchies>
  <pivotTableStyleInfo name="PivotStyleLight16" showRowHeaders="1" showColHeaders="1" showRowStripes="0" showColStripes="0" showLastColumn="1"/>
  <rowHierarchiesUsage count="1">
    <rowHierarchyUsage hierarchyUsage="1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roduct_Table]"/>
        <x15:activeTabTopLevelEntity name="[Orders_Tabl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D9F7F9-413F-47F6-B15B-596B0BEA7B24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 rowHeaderCaption="Region">
  <location ref="B3:C8" firstHeaderRow="1" firstDataRow="1" firstDataCol="1"/>
  <pivotFields count="11">
    <pivotField showAll="0"/>
    <pivotField numFmtId="14" showAll="0">
      <items count="13">
        <item x="0"/>
        <item m="1" x="8"/>
        <item x="2"/>
        <item m="1" x="9"/>
        <item x="4"/>
        <item m="1" x="10"/>
        <item m="1" x="11"/>
        <item x="7"/>
        <item x="6"/>
        <item x="3"/>
        <item x="5"/>
        <item x="1"/>
        <item t="default"/>
      </items>
    </pivotField>
    <pivotField showAll="0"/>
    <pivotField showAll="0"/>
    <pivotField showAll="0"/>
    <pivotField showAll="0"/>
    <pivotField axis="axisRow" showAll="0" sortType="descending">
      <items count="5">
        <item x="2"/>
        <item x="3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4">
        <item x="0"/>
        <item x="1"/>
        <item x="2"/>
        <item t="default"/>
      </items>
    </pivotField>
  </pivotFields>
  <rowFields count="1">
    <field x="6"/>
  </rowFields>
  <rowItems count="5">
    <i>
      <x v="2"/>
    </i>
    <i>
      <x v="3"/>
    </i>
    <i>
      <x v="1"/>
    </i>
    <i>
      <x/>
    </i>
    <i t="grand">
      <x/>
    </i>
  </rowItems>
  <colItems count="1">
    <i/>
  </colItems>
  <dataFields count="1">
    <dataField name="Total_sales" fld="8" baseField="6" baseItem="2"/>
  </dataFields>
  <formats count="13">
    <format dxfId="66">
      <pivotArea field="6" type="button" dataOnly="0" labelOnly="1" outline="0" axis="axisRow" fieldPosition="0"/>
    </format>
    <format dxfId="65">
      <pivotArea dataOnly="0" labelOnly="1" outline="0" axis="axisValues" fieldPosition="0"/>
    </format>
    <format dxfId="64">
      <pivotArea field="6" type="button" dataOnly="0" labelOnly="1" outline="0" axis="axisRow" fieldPosition="0"/>
    </format>
    <format dxfId="63">
      <pivotArea dataOnly="0" labelOnly="1" outline="0" axis="axisValues" fieldPosition="0"/>
    </format>
    <format dxfId="62">
      <pivotArea outline="0" collapsedLevelsAreSubtotals="1" fieldPosition="0"/>
    </format>
    <format dxfId="61">
      <pivotArea dataOnly="0" labelOnly="1" grandRow="1" outline="0" fieldPosition="0"/>
    </format>
    <format dxfId="60">
      <pivotArea outline="0" collapsedLevelsAreSubtotals="1" fieldPosition="0"/>
    </format>
    <format dxfId="59">
      <pivotArea dataOnly="0" labelOnly="1" fieldPosition="0">
        <references count="1">
          <reference field="6" count="1">
            <x v="2"/>
          </reference>
        </references>
      </pivotArea>
    </format>
    <format dxfId="58">
      <pivotArea dataOnly="0" labelOnly="1" grandRow="1" outline="0" fieldPosition="0"/>
    </format>
    <format dxfId="57">
      <pivotArea dataOnly="0" fieldPosition="0">
        <references count="1">
          <reference field="6" count="0"/>
        </references>
      </pivotArea>
    </format>
    <format dxfId="5">
      <pivotArea dataOnly="0" labelOnly="1" fieldPosition="0">
        <references count="1">
          <reference field="6" count="1">
            <x v="3"/>
          </reference>
        </references>
      </pivotArea>
    </format>
    <format dxfId="4">
      <pivotArea dataOnly="0" labelOnly="1" fieldPosition="0">
        <references count="1">
          <reference field="6" count="1">
            <x v="3"/>
          </reference>
        </references>
      </pivotArea>
    </format>
    <format dxfId="1">
      <pivotArea dataOnly="0" labelOnly="1" fieldPosition="0">
        <references count="1">
          <reference field="6" count="1">
            <x v="3"/>
          </reference>
        </references>
      </pivotArea>
    </format>
  </formats>
  <chartFormats count="1">
    <chartFormat chart="1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1AB5F44-8E44-464E-8BA2-EA3C4A99A0BB}" name="Product_Table" displayName="Product_Table" ref="A1:D6" totalsRowShown="0" headerRowDxfId="72" dataDxfId="71">
  <autoFilter ref="A1:D6" xr:uid="{61AB5F44-8E44-464E-8BA2-EA3C4A99A0BB}"/>
  <tableColumns count="4">
    <tableColumn id="1" xr3:uid="{636FD8F4-D839-470D-A34F-91BFA1F37AE7}" name="Product_ID" dataDxfId="70"/>
    <tableColumn id="2" xr3:uid="{1A1292E1-571C-4EF3-B43F-B0E4A8445AF8}" name="Product_Name" dataDxfId="69"/>
    <tableColumn id="3" xr3:uid="{D59D7820-7975-45AA-8B57-90C70F1AE417}" name="Category" dataDxfId="68"/>
    <tableColumn id="4" xr3:uid="{4E108125-6168-43AA-ABC6-6902D23765A7}" name="Price" dataDxfId="6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7DB5E9E-BFBD-44F4-B407-1B8490127DC9}" name="Orders_Table" displayName="Orders_Table" ref="A1:I9" totalsRowShown="0" headerRowDxfId="16" dataDxfId="15">
  <autoFilter ref="A1:I9" xr:uid="{D7DB5E9E-BFBD-44F4-B407-1B8490127DC9}"/>
  <tableColumns count="9">
    <tableColumn id="1" xr3:uid="{B5A76D67-4069-4432-AE34-C6E432B1AA4A}" name="Order ID" dataDxfId="14"/>
    <tableColumn id="2" xr3:uid="{D0A78632-187B-4360-B65B-C23C8041CEB7}" name="Order Date" dataDxfId="13"/>
    <tableColumn id="3" xr3:uid="{3A849A96-824A-420B-AA49-FF7F89AE848F}" name="Customer_Name" dataDxfId="12"/>
    <tableColumn id="4" xr3:uid="{77C097BE-3B49-4DB1-93F2-CC7AA0A08202}" name="Product_ID" dataDxfId="11"/>
    <tableColumn id="7" xr3:uid="{B37A2A92-3E4F-49BC-AB3E-05DE845FC0F1}" name="Product_Name" dataDxfId="10">
      <calculatedColumnFormula>VLOOKUP(Orders_Table[[#This Row],[Product_ID]],Product_Table[],2,0)</calculatedColumnFormula>
    </tableColumn>
    <tableColumn id="5" xr3:uid="{4D744939-AF72-4F61-BFAA-408B12539768}" name="Quantity" dataDxfId="9"/>
    <tableColumn id="6" xr3:uid="{5EE5D2D2-DD8C-464B-A5BB-658607BEC860}" name="Region" dataDxfId="8"/>
    <tableColumn id="8" xr3:uid="{FEE0CD70-8CA6-41D2-9F97-6A2C081020B5}" name="Price" dataDxfId="7">
      <calculatedColumnFormula>VLOOKUP(Orders_Table[[#This Row],[Product_ID]],Product_Table[],4,0)</calculatedColumnFormula>
    </tableColumn>
    <tableColumn id="9" xr3:uid="{2A7A3894-DFC3-4E43-B960-5F33530051F6}" name="Total Sales" dataDxfId="6">
      <calculatedColumnFormula>Orders_Table[[#This Row],[Quantity]]*Orders_Table[[#This Row],[Price]]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Blue">
      <a:dk1>
        <a:sysClr val="windowText" lastClr="000000"/>
      </a:dk1>
      <a:lt1>
        <a:sysClr val="window" lastClr="FFFFFF"/>
      </a:lt1>
      <a:dk2>
        <a:srgbClr val="17406D"/>
      </a:dk2>
      <a:lt2>
        <a:srgbClr val="DBEFF9"/>
      </a:lt2>
      <a:accent1>
        <a:srgbClr val="0F6FC6"/>
      </a:accent1>
      <a:accent2>
        <a:srgbClr val="009DD9"/>
      </a:accent2>
      <a:accent3>
        <a:srgbClr val="0BD0D9"/>
      </a:accent3>
      <a:accent4>
        <a:srgbClr val="10CF9B"/>
      </a:accent4>
      <a:accent5>
        <a:srgbClr val="7CCA62"/>
      </a:accent5>
      <a:accent6>
        <a:srgbClr val="A5C249"/>
      </a:accent6>
      <a:hlink>
        <a:srgbClr val="F49100"/>
      </a:hlink>
      <a:folHlink>
        <a:srgbClr val="85DFD0"/>
      </a:folHlink>
    </a:clrScheme>
    <a:fontScheme name="Calibri Light-Constantia">
      <a:majorFont>
        <a:latin typeface="Calibri Light" panose="020F03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onstantia" panose="02030602050306030303"/>
        <a:ea typeface=""/>
        <a:cs typeface=""/>
        <a:font script="Jpan" typeface="HG明朝E"/>
        <a:font script="Hang" typeface="궁서"/>
        <a:font script="Hans" typeface="华文新魏"/>
        <a:font script="Hant" typeface="標楷體"/>
        <a:font script="Arab" typeface="Times New Roman"/>
        <a:font script="Hebr" typeface="Times New Roman"/>
        <a:font script="Thai" typeface="Browalli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rinterSettings" Target="../printerSettings/printerSettings1.bin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07975-B9EB-4E9F-BE3E-2F1168E6C823}">
  <dimension ref="A1:D6"/>
  <sheetViews>
    <sheetView workbookViewId="0">
      <selection activeCell="C14" sqref="C14"/>
    </sheetView>
  </sheetViews>
  <sheetFormatPr defaultRowHeight="14.4" x14ac:dyDescent="0.3"/>
  <cols>
    <col min="1" max="1" width="19.796875" customWidth="1"/>
    <col min="2" max="2" width="21.5" customWidth="1"/>
    <col min="3" max="3" width="19.09765625" customWidth="1"/>
    <col min="4" max="4" width="18.59765625" customWidth="1"/>
  </cols>
  <sheetData>
    <row r="1" spans="1:4" ht="30" customHeight="1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ht="19.8" customHeight="1" x14ac:dyDescent="0.3">
      <c r="A2" s="1" t="s">
        <v>4</v>
      </c>
      <c r="B2" s="1" t="s">
        <v>9</v>
      </c>
      <c r="C2" s="1" t="s">
        <v>14</v>
      </c>
      <c r="D2" s="1">
        <v>50000</v>
      </c>
    </row>
    <row r="3" spans="1:4" ht="21.6" customHeight="1" x14ac:dyDescent="0.3">
      <c r="A3" s="1" t="s">
        <v>5</v>
      </c>
      <c r="B3" s="1" t="s">
        <v>10</v>
      </c>
      <c r="C3" s="1" t="s">
        <v>14</v>
      </c>
      <c r="D3" s="1">
        <v>20000</v>
      </c>
    </row>
    <row r="4" spans="1:4" ht="22.2" customHeight="1" x14ac:dyDescent="0.3">
      <c r="A4" s="1" t="s">
        <v>6</v>
      </c>
      <c r="B4" s="1" t="s">
        <v>11</v>
      </c>
      <c r="C4" s="1" t="s">
        <v>15</v>
      </c>
      <c r="D4" s="1">
        <v>3000</v>
      </c>
    </row>
    <row r="5" spans="1:4" ht="22.2" customHeight="1" x14ac:dyDescent="0.3">
      <c r="A5" s="1" t="s">
        <v>7</v>
      </c>
      <c r="B5" s="1" t="s">
        <v>12</v>
      </c>
      <c r="C5" s="1" t="s">
        <v>15</v>
      </c>
      <c r="D5" s="1">
        <v>5000</v>
      </c>
    </row>
    <row r="6" spans="1:4" ht="21.6" customHeight="1" x14ac:dyDescent="0.3">
      <c r="A6" s="1" t="s">
        <v>8</v>
      </c>
      <c r="B6" s="1" t="s">
        <v>13</v>
      </c>
      <c r="C6" s="1" t="s">
        <v>16</v>
      </c>
      <c r="D6" s="1">
        <v>7000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2327A-7B4D-4AC5-86B9-AA30E663A8A7}">
  <dimension ref="A1:I10"/>
  <sheetViews>
    <sheetView workbookViewId="0">
      <selection activeCell="E18" sqref="E18"/>
    </sheetView>
  </sheetViews>
  <sheetFormatPr defaultRowHeight="14.4" x14ac:dyDescent="0.3"/>
  <cols>
    <col min="1" max="1" width="13.69921875" customWidth="1"/>
    <col min="2" max="2" width="17" customWidth="1"/>
    <col min="3" max="3" width="18.59765625" customWidth="1"/>
    <col min="4" max="4" width="14.5" customWidth="1"/>
    <col min="5" max="5" width="17.796875" customWidth="1"/>
    <col min="6" max="6" width="14" customWidth="1"/>
    <col min="7" max="7" width="14.59765625" customWidth="1"/>
    <col min="8" max="8" width="15.59765625" customWidth="1"/>
    <col min="9" max="9" width="16" customWidth="1"/>
  </cols>
  <sheetData>
    <row r="1" spans="1:9" ht="23.4" customHeight="1" x14ac:dyDescent="0.3">
      <c r="A1" s="2" t="s">
        <v>17</v>
      </c>
      <c r="B1" s="5" t="s">
        <v>18</v>
      </c>
      <c r="C1" s="2" t="s">
        <v>19</v>
      </c>
      <c r="D1" s="2" t="s">
        <v>0</v>
      </c>
      <c r="E1" s="2" t="s">
        <v>1</v>
      </c>
      <c r="F1" s="2" t="s">
        <v>20</v>
      </c>
      <c r="G1" s="2" t="s">
        <v>21</v>
      </c>
      <c r="H1" s="2" t="s">
        <v>3</v>
      </c>
      <c r="I1" s="2" t="s">
        <v>34</v>
      </c>
    </row>
    <row r="2" spans="1:9" ht="19.2" customHeight="1" x14ac:dyDescent="0.3">
      <c r="A2" s="1">
        <v>1</v>
      </c>
      <c r="B2" s="3">
        <v>46023</v>
      </c>
      <c r="C2" s="1" t="s">
        <v>22</v>
      </c>
      <c r="D2" s="1" t="s">
        <v>4</v>
      </c>
      <c r="E2" s="1" t="str">
        <f>VLOOKUP(Orders_Table[[#This Row],[Product_ID]],Product_Table[],2,0)</f>
        <v>Laptop</v>
      </c>
      <c r="F2" s="1">
        <v>1</v>
      </c>
      <c r="G2" s="1" t="s">
        <v>30</v>
      </c>
      <c r="H2" s="1">
        <f>VLOOKUP(Orders_Table[[#This Row],[Product_ID]],Product_Table[],4,0)</f>
        <v>50000</v>
      </c>
      <c r="I2" s="1">
        <f>Orders_Table[[#This Row],[Quantity]]*Orders_Table[[#This Row],[Price]]</f>
        <v>50000</v>
      </c>
    </row>
    <row r="3" spans="1:9" ht="17.399999999999999" customHeight="1" x14ac:dyDescent="0.3">
      <c r="A3" s="1">
        <v>2</v>
      </c>
      <c r="B3" s="3">
        <v>46104</v>
      </c>
      <c r="C3" s="1" t="s">
        <v>23</v>
      </c>
      <c r="D3" s="1" t="s">
        <v>6</v>
      </c>
      <c r="E3" s="1" t="str">
        <f>VLOOKUP(Orders_Table[[#This Row],[Product_ID]],Product_Table[],2,0)</f>
        <v>Shoes</v>
      </c>
      <c r="F3" s="1">
        <v>2</v>
      </c>
      <c r="G3" s="1" t="s">
        <v>33</v>
      </c>
      <c r="H3" s="1">
        <f>VLOOKUP(Orders_Table[[#This Row],[Product_ID]],Product_Table[],4,0)</f>
        <v>3000</v>
      </c>
      <c r="I3" s="1">
        <f>Orders_Table[[#This Row],[Quantity]]*Orders_Table[[#This Row],[Price]]</f>
        <v>6000</v>
      </c>
    </row>
    <row r="4" spans="1:9" ht="18.600000000000001" customHeight="1" x14ac:dyDescent="0.3">
      <c r="A4" s="1">
        <v>3</v>
      </c>
      <c r="B4" s="3">
        <v>46025</v>
      </c>
      <c r="C4" s="1" t="s">
        <v>24</v>
      </c>
      <c r="D4" s="1" t="s">
        <v>5</v>
      </c>
      <c r="E4" s="1" t="str">
        <f>VLOOKUP(Orders_Table[[#This Row],[Product_ID]],Product_Table[],2,0)</f>
        <v>Phone</v>
      </c>
      <c r="F4" s="1">
        <v>1</v>
      </c>
      <c r="G4" s="1" t="s">
        <v>32</v>
      </c>
      <c r="H4" s="1">
        <f>VLOOKUP(Orders_Table[[#This Row],[Product_ID]],Product_Table[],4,0)</f>
        <v>20000</v>
      </c>
      <c r="I4" s="1">
        <f>Orders_Table[[#This Row],[Quantity]]*Orders_Table[[#This Row],[Price]]</f>
        <v>20000</v>
      </c>
    </row>
    <row r="5" spans="1:9" ht="18" customHeight="1" x14ac:dyDescent="0.3">
      <c r="A5" s="1">
        <v>4</v>
      </c>
      <c r="B5" s="3">
        <v>46062</v>
      </c>
      <c r="C5" s="1" t="s">
        <v>25</v>
      </c>
      <c r="D5" s="1" t="s">
        <v>7</v>
      </c>
      <c r="E5" s="1" t="str">
        <f>VLOOKUP(Orders_Table[[#This Row],[Product_ID]],Product_Table[],2,0)</f>
        <v>Watch</v>
      </c>
      <c r="F5" s="1">
        <v>3</v>
      </c>
      <c r="G5" s="1" t="s">
        <v>31</v>
      </c>
      <c r="H5" s="1">
        <f>VLOOKUP(Orders_Table[[#This Row],[Product_ID]],Product_Table[],4,0)</f>
        <v>5000</v>
      </c>
      <c r="I5" s="1">
        <f>Orders_Table[[#This Row],[Quantity]]*Orders_Table[[#This Row],[Price]]</f>
        <v>15000</v>
      </c>
    </row>
    <row r="6" spans="1:9" ht="18.600000000000001" customHeight="1" x14ac:dyDescent="0.3">
      <c r="A6" s="1">
        <v>5</v>
      </c>
      <c r="B6" s="3">
        <v>46028</v>
      </c>
      <c r="C6" s="1" t="s">
        <v>26</v>
      </c>
      <c r="D6" s="1" t="s">
        <v>8</v>
      </c>
      <c r="E6" s="1" t="str">
        <f>VLOOKUP(Orders_Table[[#This Row],[Product_ID]],Product_Table[],2,0)</f>
        <v>Chair</v>
      </c>
      <c r="F6" s="1">
        <v>2</v>
      </c>
      <c r="G6" s="1" t="s">
        <v>30</v>
      </c>
      <c r="H6" s="1">
        <f>VLOOKUP(Orders_Table[[#This Row],[Product_ID]],Product_Table[],4,0)</f>
        <v>7000</v>
      </c>
      <c r="I6" s="1">
        <f>Orders_Table[[#This Row],[Quantity]]*Orders_Table[[#This Row],[Price]]</f>
        <v>14000</v>
      </c>
    </row>
    <row r="7" spans="1:9" ht="17.399999999999999" customHeight="1" x14ac:dyDescent="0.3">
      <c r="A7" s="1">
        <v>6</v>
      </c>
      <c r="B7" s="3">
        <v>46073</v>
      </c>
      <c r="C7" s="1" t="s">
        <v>27</v>
      </c>
      <c r="D7" s="1" t="s">
        <v>4</v>
      </c>
      <c r="E7" s="1" t="str">
        <f>VLOOKUP(Orders_Table[[#This Row],[Product_ID]],Product_Table[],2,0)</f>
        <v>Laptop</v>
      </c>
      <c r="F7" s="1">
        <v>1</v>
      </c>
      <c r="G7" s="1" t="s">
        <v>33</v>
      </c>
      <c r="H7" s="1">
        <f>VLOOKUP(Orders_Table[[#This Row],[Product_ID]],Product_Table[],4,0)</f>
        <v>50000</v>
      </c>
      <c r="I7" s="1">
        <f>Orders_Table[[#This Row],[Quantity]]*Orders_Table[[#This Row],[Price]]</f>
        <v>50000</v>
      </c>
    </row>
    <row r="8" spans="1:9" ht="18" customHeight="1" x14ac:dyDescent="0.3">
      <c r="A8" s="1">
        <v>7</v>
      </c>
      <c r="B8" s="3">
        <v>46043</v>
      </c>
      <c r="C8" s="1" t="s">
        <v>28</v>
      </c>
      <c r="D8" s="1" t="s">
        <v>6</v>
      </c>
      <c r="E8" s="1" t="str">
        <f>VLOOKUP(Orders_Table[[#This Row],[Product_ID]],Product_Table[],2,0)</f>
        <v>Shoes</v>
      </c>
      <c r="F8" s="1">
        <v>4</v>
      </c>
      <c r="G8" s="1" t="s">
        <v>32</v>
      </c>
      <c r="H8" s="1">
        <f>VLOOKUP(Orders_Table[[#This Row],[Product_ID]],Product_Table[],4,0)</f>
        <v>3000</v>
      </c>
      <c r="I8" s="1">
        <f>Orders_Table[[#This Row],[Quantity]]*Orders_Table[[#This Row],[Price]]</f>
        <v>12000</v>
      </c>
    </row>
    <row r="9" spans="1:9" ht="18.600000000000001" customHeight="1" x14ac:dyDescent="0.3">
      <c r="A9" s="1">
        <v>8</v>
      </c>
      <c r="B9" s="3">
        <v>46034</v>
      </c>
      <c r="C9" s="1" t="s">
        <v>29</v>
      </c>
      <c r="D9" s="1" t="s">
        <v>5</v>
      </c>
      <c r="E9" s="1" t="str">
        <f>VLOOKUP(Orders_Table[[#This Row],[Product_ID]],Product_Table[],2,0)</f>
        <v>Phone</v>
      </c>
      <c r="F9" s="1">
        <v>2</v>
      </c>
      <c r="G9" s="1" t="s">
        <v>31</v>
      </c>
      <c r="H9" s="1">
        <f>VLOOKUP(Orders_Table[[#This Row],[Product_ID]],Product_Table[],4,0)</f>
        <v>20000</v>
      </c>
      <c r="I9" s="1">
        <f>Orders_Table[[#This Row],[Quantity]]*Orders_Table[[#This Row],[Price]]</f>
        <v>40000</v>
      </c>
    </row>
    <row r="10" spans="1:9" x14ac:dyDescent="0.3">
      <c r="B10" s="6"/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6F529-F3F7-4EB6-ABF2-E092013FA9D5}">
  <dimension ref="A3:Q20"/>
  <sheetViews>
    <sheetView showGridLines="0" zoomScaleNormal="100" workbookViewId="0">
      <selection activeCell="D9" sqref="D9"/>
    </sheetView>
  </sheetViews>
  <sheetFormatPr defaultRowHeight="14.4" x14ac:dyDescent="0.3"/>
  <cols>
    <col min="1" max="1" width="6.69921875" customWidth="1"/>
    <col min="2" max="2" width="21.09765625" customWidth="1"/>
    <col min="3" max="3" width="21.8984375" customWidth="1"/>
    <col min="4" max="4" width="17.8984375" customWidth="1"/>
    <col min="5" max="5" width="9.765625E-2" hidden="1" customWidth="1"/>
    <col min="6" max="6" width="11" hidden="1" customWidth="1"/>
    <col min="7" max="7" width="18.5" customWidth="1"/>
    <col min="8" max="8" width="22.69921875" customWidth="1"/>
    <col min="9" max="9" width="16.09765625" customWidth="1"/>
    <col min="10" max="10" width="16.19921875" customWidth="1"/>
    <col min="11" max="11" width="18.8984375" customWidth="1"/>
    <col min="12" max="12" width="20" customWidth="1"/>
    <col min="13" max="13" width="18.09765625" customWidth="1"/>
    <col min="14" max="14" width="14" customWidth="1"/>
    <col min="15" max="15" width="1.8984375" customWidth="1"/>
    <col min="16" max="16" width="13" customWidth="1"/>
    <col min="17" max="17" width="21.296875" customWidth="1"/>
    <col min="18" max="18" width="8.296875" customWidth="1"/>
    <col min="19" max="19" width="8.5" customWidth="1"/>
    <col min="20" max="20" width="6.296875" customWidth="1"/>
    <col min="21" max="21" width="9.69921875" bestFit="1" customWidth="1"/>
  </cols>
  <sheetData>
    <row r="3" spans="1:17" ht="25.8" customHeight="1" x14ac:dyDescent="0.3">
      <c r="B3" s="4" t="s">
        <v>21</v>
      </c>
      <c r="C3" s="1" t="s">
        <v>36</v>
      </c>
      <c r="G3" s="4" t="s">
        <v>2</v>
      </c>
      <c r="H3" s="1" t="s">
        <v>37</v>
      </c>
      <c r="I3" s="1"/>
      <c r="K3" s="4" t="s">
        <v>38</v>
      </c>
      <c r="L3" s="1" t="s">
        <v>37</v>
      </c>
      <c r="O3" s="1"/>
    </row>
    <row r="4" spans="1:17" ht="19.8" customHeight="1" x14ac:dyDescent="0.3">
      <c r="B4" s="1" t="s">
        <v>30</v>
      </c>
      <c r="C4" s="1">
        <v>64000</v>
      </c>
      <c r="F4" s="1"/>
      <c r="G4" s="1" t="s">
        <v>14</v>
      </c>
      <c r="H4" s="1">
        <v>160000</v>
      </c>
      <c r="K4" s="1" t="s">
        <v>9</v>
      </c>
      <c r="L4" s="1">
        <v>100000</v>
      </c>
      <c r="O4" s="1"/>
    </row>
    <row r="5" spans="1:17" ht="12.6" customHeight="1" x14ac:dyDescent="0.3">
      <c r="B5" s="9" t="s">
        <v>33</v>
      </c>
      <c r="C5" s="1">
        <v>56000</v>
      </c>
      <c r="F5" s="1"/>
      <c r="G5" s="1" t="s">
        <v>15</v>
      </c>
      <c r="H5" s="1">
        <v>33000</v>
      </c>
      <c r="K5" s="1" t="s">
        <v>10</v>
      </c>
      <c r="L5" s="1">
        <v>60000</v>
      </c>
      <c r="O5" s="1"/>
    </row>
    <row r="6" spans="1:17" ht="16.2" customHeight="1" x14ac:dyDescent="0.3">
      <c r="B6" s="7" t="s">
        <v>31</v>
      </c>
      <c r="C6" s="1">
        <v>55000</v>
      </c>
      <c r="F6" s="1"/>
      <c r="G6" s="1" t="s">
        <v>16</v>
      </c>
      <c r="H6" s="1">
        <v>14000</v>
      </c>
      <c r="K6" s="1" t="s">
        <v>11</v>
      </c>
      <c r="L6" s="1">
        <v>18000</v>
      </c>
      <c r="O6" s="1"/>
    </row>
    <row r="7" spans="1:17" ht="16.8" customHeight="1" x14ac:dyDescent="0.3">
      <c r="B7" s="7" t="s">
        <v>32</v>
      </c>
      <c r="C7" s="1">
        <v>32000</v>
      </c>
      <c r="F7" s="1"/>
      <c r="G7" s="1" t="s">
        <v>35</v>
      </c>
      <c r="H7" s="1">
        <v>207000</v>
      </c>
      <c r="K7" s="1" t="s">
        <v>35</v>
      </c>
      <c r="L7" s="1">
        <v>178000</v>
      </c>
      <c r="O7" s="1"/>
    </row>
    <row r="8" spans="1:17" x14ac:dyDescent="0.3">
      <c r="B8" s="1" t="s">
        <v>35</v>
      </c>
      <c r="C8" s="1">
        <v>207000</v>
      </c>
      <c r="E8" s="1"/>
      <c r="F8" s="1"/>
      <c r="G8" s="1"/>
      <c r="O8" s="1"/>
      <c r="P8" s="1"/>
      <c r="Q8" s="1"/>
    </row>
    <row r="9" spans="1:17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O9" s="1"/>
      <c r="P9" s="1"/>
      <c r="Q9" s="1"/>
    </row>
    <row r="13" spans="1:17" ht="8.4" customHeight="1" x14ac:dyDescent="0.3"/>
    <row r="14" spans="1:17" ht="22.2" customHeight="1" x14ac:dyDescent="0.3">
      <c r="C14" s="4" t="s">
        <v>39</v>
      </c>
      <c r="D14" s="1" t="s">
        <v>37</v>
      </c>
      <c r="I14" s="4" t="s">
        <v>43</v>
      </c>
      <c r="J14" s="1" t="s">
        <v>37</v>
      </c>
    </row>
    <row r="15" spans="1:17" ht="15.6" customHeight="1" x14ac:dyDescent="0.3">
      <c r="C15" s="1" t="s">
        <v>22</v>
      </c>
      <c r="D15" s="1">
        <v>50000</v>
      </c>
      <c r="I15" s="1" t="s">
        <v>40</v>
      </c>
      <c r="J15" s="1">
        <v>136000</v>
      </c>
    </row>
    <row r="16" spans="1:17" ht="16.8" customHeight="1" x14ac:dyDescent="0.3">
      <c r="C16" s="1" t="s">
        <v>27</v>
      </c>
      <c r="D16" s="1">
        <v>50000</v>
      </c>
      <c r="I16" s="1" t="s">
        <v>41</v>
      </c>
      <c r="J16" s="1">
        <v>65000</v>
      </c>
    </row>
    <row r="17" spans="3:10" ht="18" customHeight="1" x14ac:dyDescent="0.3">
      <c r="C17" s="1" t="s">
        <v>29</v>
      </c>
      <c r="D17" s="1">
        <v>40000</v>
      </c>
      <c r="I17" s="1" t="s">
        <v>42</v>
      </c>
      <c r="J17" s="1">
        <v>6000</v>
      </c>
    </row>
    <row r="18" spans="3:10" ht="18.600000000000001" customHeight="1" x14ac:dyDescent="0.3">
      <c r="C18" s="1" t="s">
        <v>24</v>
      </c>
      <c r="D18" s="1">
        <v>20000</v>
      </c>
      <c r="I18" s="1" t="s">
        <v>35</v>
      </c>
      <c r="J18" s="1">
        <v>207000</v>
      </c>
    </row>
    <row r="19" spans="3:10" ht="18.600000000000001" customHeight="1" x14ac:dyDescent="0.3">
      <c r="C19" s="1" t="s">
        <v>25</v>
      </c>
      <c r="D19" s="1">
        <v>15000</v>
      </c>
    </row>
    <row r="20" spans="3:10" x14ac:dyDescent="0.3">
      <c r="C20" s="1" t="s">
        <v>35</v>
      </c>
      <c r="D20" s="1">
        <v>175000</v>
      </c>
    </row>
  </sheetData>
  <pageMargins left="0.7" right="0.7" top="0.75" bottom="0.75" header="0.3" footer="0.3"/>
  <pageSetup orientation="portrait" r:id="rId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E4620-8915-430D-85B7-4CF345D125A3}">
  <dimension ref="A1:G2"/>
  <sheetViews>
    <sheetView showGridLines="0" tabSelected="1" zoomScaleNormal="100" workbookViewId="0">
      <selection activeCell="H19" sqref="H19"/>
    </sheetView>
  </sheetViews>
  <sheetFormatPr defaultRowHeight="14.4" x14ac:dyDescent="0.3"/>
  <cols>
    <col min="1" max="1" width="14" customWidth="1"/>
    <col min="2" max="2" width="11.296875" customWidth="1"/>
    <col min="3" max="3" width="10.3984375" customWidth="1"/>
    <col min="4" max="4" width="11" customWidth="1"/>
    <col min="5" max="5" width="20" customWidth="1"/>
    <col min="6" max="6" width="13.3984375" customWidth="1"/>
    <col min="7" max="7" width="10.8984375" customWidth="1"/>
    <col min="9" max="10" width="8"/>
    <col min="11" max="11" width="5.5" customWidth="1"/>
    <col min="12" max="12" width="8"/>
    <col min="13" max="13" width="4" customWidth="1"/>
    <col min="14" max="15" width="8"/>
    <col min="16" max="17" width="4.296875" customWidth="1"/>
    <col min="18" max="18" width="8"/>
    <col min="19" max="19" width="2.796875" customWidth="1"/>
  </cols>
  <sheetData>
    <row r="1" spans="1:7" ht="26.4" customHeight="1" thickBot="1" x14ac:dyDescent="0.35">
      <c r="A1" s="8" t="s">
        <v>44</v>
      </c>
      <c r="B1" s="8" t="str">
        <f>INDEX(Analysis!B4:B7, MATCH(MAX(Analysis!C4:C7), Analysis!C4:C7, 0))</f>
        <v>South</v>
      </c>
      <c r="C1" s="8">
        <f>MAX(Analysis!C4:C7)</f>
        <v>64000</v>
      </c>
      <c r="E1" s="10" t="s">
        <v>45</v>
      </c>
      <c r="F1" s="10" t="str">
        <f>INDEX(Analysis!G4:G6,MATCH(MAX(Analysis!H4:H6),Analysis!H4:H6,0))</f>
        <v>Electronics</v>
      </c>
      <c r="G1" s="10">
        <f>MAX(Analysis!H4:H6)</f>
        <v>160000</v>
      </c>
    </row>
    <row r="2" spans="1:7" ht="15" thickTop="1" x14ac:dyDescent="0.3"/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Product_sheet</vt:lpstr>
      <vt:lpstr>Orders_sheet</vt:lpstr>
      <vt:lpstr>Analysis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Nidimamidi Naseefa</dc:creator>
  <cp:lastModifiedBy>Nidimamidi Naseefa</cp:lastModifiedBy>
  <dcterms:created xsi:type="dcterms:W3CDTF">2026-02-12T16:05:24Z</dcterms:created>
  <dcterms:modified xsi:type="dcterms:W3CDTF">2026-02-13T12:34:53Z</dcterms:modified>
</cp:coreProperties>
</file>